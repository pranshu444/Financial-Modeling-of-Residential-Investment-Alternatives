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dantiwari/Downloads/"/>
    </mc:Choice>
  </mc:AlternateContent>
  <xr:revisionPtr revIDLastSave="0" documentId="8_{42AD8824-26C1-6E47-8BBA-9E13536A15AD}" xr6:coauthVersionLast="47" xr6:coauthVersionMax="47" xr10:uidLastSave="{00000000-0000-0000-0000-000000000000}"/>
  <bookViews>
    <workbookView xWindow="0" yWindow="680" windowWidth="28800" windowHeight="17960" activeTab="2" xr2:uid="{CA8A9EF5-F3B0-0A4A-9A93-0FEB31FE2EC1}"/>
  </bookViews>
  <sheets>
    <sheet name="Buy the home" sheetId="5" r:id="rId1"/>
    <sheet name="Rent the home" sheetId="3" r:id="rId2"/>
    <sheet name="Decision Maker" sheetId="6" r:id="rId3"/>
  </sheets>
  <definedNames>
    <definedName name="Assuming_that_he_she_smartly_invests_in_stock_market_for_a_duration_of_total_number_of_years_of_renting__the_Final_Money_the_person_gets_in_return">#REF!</definedName>
    <definedName name="Buying_Closing_Cost">'Buy the home'!$D$11</definedName>
    <definedName name="Buying_Closing_Cost_Amount">'Buy the home'!$D$12</definedName>
    <definedName name="Down_Payment_Amount">'Buy the home'!$D$5</definedName>
    <definedName name="Down_Payment_Percent">'Buy the home'!$D$4</definedName>
    <definedName name="Effective_EMI">'Buy the home'!$D$28</definedName>
    <definedName name="Effective_Interest_Rate_for_Loan" localSheetId="0">'Buy the home'!$D$27</definedName>
    <definedName name="Effective_Interest_Rate_for_Loan" localSheetId="1">'Rent the home'!$E$12</definedName>
    <definedName name="Effective_Interest_Rate_for_Loan">#REF!</definedName>
    <definedName name="Future_Value_of_Buying_Closing_Amount">'Buy the home'!$D$25</definedName>
    <definedName name="Future_Value_of_Maintenance_fees_paid_in_totality">'Rent the home'!$E$30</definedName>
    <definedName name="Future_Value_of_Rent_paid_in_totality">'Rent the home'!$E$23</definedName>
    <definedName name="Future_Value_of_Renter_s_Insurance_paid_in_totality">'Rent the home'!$E$27</definedName>
    <definedName name="Future_Value_of_the_Security_Deposit_paid">'Rent the home'!$E$33</definedName>
    <definedName name="Future_Value_of_the_Upfront_Amount_paid">'Rent the home'!$E$36</definedName>
    <definedName name="Home_Insurance">'Buy the home'!$D$15</definedName>
    <definedName name="Home_Value_Appreciation">'Buy the home'!$D$18</definedName>
    <definedName name="House_Owner_Association__HOA__Fee">'Buy the home'!$D$16</definedName>
    <definedName name="Initial_Home_Purchase_Price">'Buy the home'!$D$3</definedName>
    <definedName name="Interest_Rate" localSheetId="1">'Rent the home'!$E$11</definedName>
    <definedName name="Interest_Rate">'Buy the home'!$D$6</definedName>
    <definedName name="Loan_Term">'Buy the home'!$D$9</definedName>
    <definedName name="Maintenance_Cost">'Buy the home'!$D$17</definedName>
    <definedName name="Maintenance_fees">'Rent the home'!$E$7</definedName>
    <definedName name="Monthly_Rental_Cost">'Rent the home'!$E$4</definedName>
    <definedName name="NET_VALUE_OF_RENTING_A_HOUSE__FUTURE_VALUE">'Rent the home'!$E$38</definedName>
    <definedName name="Number_of_Years_of_Ownership" localSheetId="1">'Rent the home'!$E$10</definedName>
    <definedName name="Number_of_Years_of_Ownership">'Buy the home'!$D$20</definedName>
    <definedName name="Number_of_Years_of_Renting">'Rent the home'!$E$10</definedName>
    <definedName name="Overall_EMI__present_value__paid_in_the_case_of_Buying">#REF!</definedName>
    <definedName name="Property_Tax">'Buy the home'!$D$32</definedName>
    <definedName name="Property_Tax_Amount">'Buy the home'!$D$34</definedName>
    <definedName name="Property_Tax_Increase">'Buy the home'!$D$33</definedName>
    <definedName name="Rental_Cost_Increase">'Rent the home'!$E$5</definedName>
    <definedName name="Renter_s_Insurance">'Rent the home'!$E$6</definedName>
    <definedName name="Security_deposit">'Rent the home'!$E$8</definedName>
    <definedName name="Selling_Closing_Price___Associated_Amount">'Buy the home'!$D$51</definedName>
    <definedName name="Selling_Closing_Price___Associated_Cost">'Buy the home'!$D$19</definedName>
    <definedName name="Stock_Market_Return">'Rent the home'!#REF!</definedName>
    <definedName name="Total_EMI_paid_in_1_year">'Buy the home'!$D$29</definedName>
    <definedName name="Total_EMI_paid_over_the_period__Future_Value">'Buy the home'!$D$30</definedName>
    <definedName name="Total_Home_Insurance_over_the_period">'Buy the home'!$D$38</definedName>
    <definedName name="Total_House_Owner_Association__HOA__Fee_over_the_period">'Buy the home'!$D$41</definedName>
    <definedName name="Total_Maintenance_Amount_paid_over_the_period">'Buy the home'!$D$45</definedName>
    <definedName name="Total_Property_Tax_over_the_period">'Buy the home'!$D$35</definedName>
    <definedName name="Total_Rent__present_value__paid_in_the_case_of_Renting">#REF!</definedName>
    <definedName name="Upfront_cost">'Rent the home'!$E$9</definedName>
    <definedName name="Value_of_Home_after_the_total_Number_of_Years_of_Ownership">'Buy the home'!$D$48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5" l="1"/>
  <c r="D35" i="5" l="1" a="1"/>
  <c r="D35" i="5" s="1"/>
  <c r="E23" i="3" l="1"/>
  <c r="E12" i="3"/>
  <c r="E27" i="3" s="1"/>
  <c r="D24" i="5"/>
  <c r="D48" i="5"/>
  <c r="D51" i="5" s="1"/>
  <c r="D44" i="5"/>
  <c r="D34" i="5"/>
  <c r="D27" i="5"/>
  <c r="D38" i="5" s="1"/>
  <c r="D12" i="5"/>
  <c r="D25" i="5" s="1"/>
  <c r="D7" i="5"/>
  <c r="D5" i="5"/>
  <c r="D8" i="5" s="1"/>
  <c r="E33" i="3" l="1"/>
  <c r="E30" i="3"/>
  <c r="E38" i="3" s="1"/>
  <c r="E36" i="3"/>
  <c r="D41" i="5"/>
  <c r="D45" i="5"/>
  <c r="D10" i="5"/>
  <c r="D28" i="5"/>
  <c r="D29" i="5" l="1"/>
  <c r="D3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<sst xmlns="http://schemas.openxmlformats.org/spreadsheetml/2006/main" count="137" uniqueCount="83">
  <si>
    <t>PARAMETERS</t>
  </si>
  <si>
    <t>S.No</t>
  </si>
  <si>
    <t>VALUES</t>
  </si>
  <si>
    <t>ASSUMPTIONS</t>
  </si>
  <si>
    <t>Initial Home Purchase Price</t>
  </si>
  <si>
    <t>Down Payment Percent</t>
  </si>
  <si>
    <t>Down Payment Amount</t>
  </si>
  <si>
    <t>Interest Rate</t>
  </si>
  <si>
    <t>Loan Term</t>
  </si>
  <si>
    <t xml:space="preserve">Buying Closing Cost </t>
  </si>
  <si>
    <t>Property Tax</t>
  </si>
  <si>
    <t>Home Insurance</t>
  </si>
  <si>
    <t>House Owner Association (HOA) Fee</t>
  </si>
  <si>
    <t>Maintenance Cost</t>
  </si>
  <si>
    <t>Home Value Appreciation</t>
  </si>
  <si>
    <t>Selling/Closing Price &amp; Associated Cost</t>
  </si>
  <si>
    <t>years</t>
  </si>
  <si>
    <t>TERMS</t>
  </si>
  <si>
    <t>%</t>
  </si>
  <si>
    <t xml:space="preserve">% </t>
  </si>
  <si>
    <t>INCLUDES LOAN-RELATED FEES, TITLE AND ESCROW FEES, GOVERNMENT FEES, MISCELLANEOUS COSTS</t>
  </si>
  <si>
    <t>%/year</t>
  </si>
  <si>
    <t>/year</t>
  </si>
  <si>
    <t>Property Tax Increase</t>
  </si>
  <si>
    <t>INCLUDES BUILDING INSURANCE AND CONTENT INSURANCE</t>
  </si>
  <si>
    <t>ASSUMING AN UPPER-MID RANGE HOUSE APARTMENT</t>
  </si>
  <si>
    <t>INR 2 LAKHS PER YEAR FOR 10 YEARS</t>
  </si>
  <si>
    <t>Monthly Rental Cost</t>
  </si>
  <si>
    <t>Rental Cost Increase</t>
  </si>
  <si>
    <t>Renter's Insurance</t>
  </si>
  <si>
    <t>Maintenance fees</t>
  </si>
  <si>
    <t>Upfront cost</t>
  </si>
  <si>
    <t>Security deposit</t>
  </si>
  <si>
    <t>/month</t>
  </si>
  <si>
    <t>INCLUDES BROKERAGE, AGREEMENTS, FURNISHING</t>
  </si>
  <si>
    <t>Table 1: Parameters pertaining to the purchase of a new home.</t>
  </si>
  <si>
    <t>Table 2: Parameters pertaining to renting a home</t>
  </si>
  <si>
    <t>Paid at the beginning of each year</t>
  </si>
  <si>
    <t>INCLUDES BROKER FEES, LEGAL CHARGES, etc.</t>
  </si>
  <si>
    <t>Effective Interest Rate for Loan</t>
  </si>
  <si>
    <t>% (monthly)</t>
  </si>
  <si>
    <t>APR</t>
  </si>
  <si>
    <t>EMI</t>
  </si>
  <si>
    <t>Loan Amount</t>
  </si>
  <si>
    <t>Effective EMI</t>
  </si>
  <si>
    <t>Paid at the beginning of each year(Assumed)</t>
  </si>
  <si>
    <t>Property Tax Amount</t>
  </si>
  <si>
    <t>Total Property Tax over the period</t>
  </si>
  <si>
    <t>for the whole duration</t>
  </si>
  <si>
    <t>Total Home Insurance over the period</t>
  </si>
  <si>
    <t>Number of Years of Ownership</t>
  </si>
  <si>
    <t>Assuming the person foresees staying in the town for 10 years</t>
  </si>
  <si>
    <t>Total House Owner Association (HOA) Fee over the period</t>
  </si>
  <si>
    <t>Maintenance Amount</t>
  </si>
  <si>
    <t>Total Maintenance Amount paid over the period</t>
  </si>
  <si>
    <t>Value of Home after the total Number of Years of Ownership</t>
  </si>
  <si>
    <t>Selling/Closing Price &amp; Associated Amount</t>
  </si>
  <si>
    <t>NET VALUE OF BUYING A HOUSE (FUTURE VALUE)</t>
  </si>
  <si>
    <t>Total EMI paid in 1 year</t>
  </si>
  <si>
    <t>Buying Closing Amount</t>
  </si>
  <si>
    <t>Future Value of Buying Closing Amount</t>
  </si>
  <si>
    <t>Future Value of Rent paid in totality</t>
  </si>
  <si>
    <t>Future Value of Renter's Insurance paid in totality</t>
  </si>
  <si>
    <t>Future Value of Maintenance fees paid in totality</t>
  </si>
  <si>
    <t>SECURITY DEPOSIT IS 6 MONTHS OF RENT (in general)</t>
  </si>
  <si>
    <t>ASSUMING THE PERSON FORESEES TO STAY IN THE TOWN FOR 10 YEARS</t>
  </si>
  <si>
    <t xml:space="preserve">Future Value of the Security Deposit paid </t>
  </si>
  <si>
    <t xml:space="preserve">Future Value of the Upfront Amount paid </t>
  </si>
  <si>
    <t>NET VALUE OF RENTING A HOUSE (FUTURE VALUE)</t>
  </si>
  <si>
    <t>Total EMI paid over the period (Future Value)</t>
  </si>
  <si>
    <t>Number of Years of Renting</t>
  </si>
  <si>
    <t>Using the SUMPRODUCT formula. Since Property Tax Amount increases at a rate of 2%, we can not use FV formula directly since Annual cost (A) does not remain constant. Instead, we use summation of the product</t>
  </si>
  <si>
    <t>CONTAINS</t>
  </si>
  <si>
    <t>(Red Colour Represents Negative Value)*</t>
  </si>
  <si>
    <t>Using Future Value = Amount*(1+r)^n</t>
  </si>
  <si>
    <t>Using PMT ((A|P, i , n)</t>
  </si>
  <si>
    <t xml:space="preserve">Effective EMI * 12 </t>
  </si>
  <si>
    <t>Using FV ((F|A, i , n)</t>
  </si>
  <si>
    <t>(Assuming that Home Insurance Fee is paid at Effective Interest Rate) Using Using FV ((F|A, i , n)</t>
  </si>
  <si>
    <t>in ₹</t>
  </si>
  <si>
    <t>DECISION MAKER</t>
  </si>
  <si>
    <t>if |NET VALUE OF BUYING A HOUSE (FUTURE VALUE)| &gt; |NET VALUE OF RENTING A HOUSE (FUTURE VALUE)|, consider RENTING THE HOUSE</t>
  </si>
  <si>
    <t>if |NET VALUE OF BUYING A HOUSE (FUTURE VALUE)| &lt; |NET VALUE OF RENTING A HOUSE (FUTURE VALUE)|, consider BUYING THE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</si>
</sst>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#,##0_);[Red]\(&quot;₹&quot;#,##0\)"/>
    <numFmt numFmtId="8" formatCode="&quot;₹&quot;#,##0.00_);[Red]\(&quot;₹&quot;#,##0.00\)"/>
    <numFmt numFmtId="172" formatCode="0.0"/>
  </numFmts>
  <fonts count="22" x14ac:knownFonts="1"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3.5"/>
      <color theme="1"/>
      <name val="Times New Roman"/>
      <family val="1"/>
    </font>
    <font>
      <sz val="13.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2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sz val="18"/>
      <color rgb="FF000000"/>
      <name val="Times New Roman"/>
      <family val="1"/>
    </font>
    <font>
      <sz val="12"/>
      <color rgb="FFFF0000"/>
      <name val="Calibri (Body)"/>
    </font>
    <font>
      <sz val="20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Times New Roman"/>
      <family val="1"/>
    </font>
    <font>
      <b/>
      <sz val="36"/>
      <color theme="1"/>
      <name val="Times New Roman"/>
      <family val="1"/>
    </font>
    <font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E1F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6" fontId="0" fillId="0" borderId="0" xfId="0" applyNumberFormat="1"/>
    <xf numFmtId="8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5" fillId="4" borderId="3" xfId="0" applyFont="1" applyFill="1" applyBorder="1"/>
    <xf numFmtId="0" fontId="4" fillId="0" borderId="0" xfId="0" applyFont="1"/>
    <xf numFmtId="8" fontId="8" fillId="0" borderId="0" xfId="0" applyNumberFormat="1" applyFont="1"/>
    <xf numFmtId="0" fontId="7" fillId="0" borderId="4" xfId="0" applyFont="1" applyBorder="1"/>
    <xf numFmtId="0" fontId="7" fillId="2" borderId="4" xfId="0" applyFont="1" applyFill="1" applyBorder="1"/>
    <xf numFmtId="8" fontId="9" fillId="0" borderId="4" xfId="0" applyNumberFormat="1" applyFont="1" applyBorder="1"/>
    <xf numFmtId="0" fontId="11" fillId="0" borderId="0" xfId="0" applyFont="1"/>
    <xf numFmtId="0" fontId="12" fillId="0" borderId="0" xfId="0" applyFont="1" applyAlignment="1">
      <alignment vertical="center"/>
    </xf>
    <xf numFmtId="6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72" fontId="11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8" fontId="11" fillId="0" borderId="0" xfId="0" applyNumberFormat="1" applyFont="1" applyAlignment="1">
      <alignment horizontal="right"/>
    </xf>
    <xf numFmtId="6" fontId="11" fillId="2" borderId="1" xfId="0" applyNumberFormat="1" applyFont="1" applyFill="1" applyBorder="1" applyAlignment="1">
      <alignment horizontal="right"/>
    </xf>
    <xf numFmtId="0" fontId="13" fillId="0" borderId="0" xfId="0" applyFont="1"/>
    <xf numFmtId="0" fontId="3" fillId="5" borderId="0" xfId="0" applyFont="1" applyFill="1" applyAlignment="1">
      <alignment horizontal="left" vertical="center"/>
    </xf>
    <xf numFmtId="0" fontId="14" fillId="3" borderId="2" xfId="0" applyFont="1" applyFill="1" applyBorder="1"/>
    <xf numFmtId="0" fontId="14" fillId="3" borderId="3" xfId="0" applyFont="1" applyFill="1" applyBorder="1"/>
    <xf numFmtId="0" fontId="12" fillId="0" borderId="0" xfId="0" applyFont="1" applyAlignment="1">
      <alignment horizontal="left" vertical="center"/>
    </xf>
    <xf numFmtId="6" fontId="11" fillId="2" borderId="1" xfId="0" applyNumberFormat="1" applyFont="1" applyFill="1" applyBorder="1"/>
    <xf numFmtId="6" fontId="15" fillId="4" borderId="3" xfId="0" applyNumberFormat="1" applyFont="1" applyFill="1" applyBorder="1"/>
    <xf numFmtId="0" fontId="6" fillId="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right"/>
    </xf>
    <xf numFmtId="0" fontId="7" fillId="2" borderId="5" xfId="0" applyFont="1" applyFill="1" applyBorder="1"/>
    <xf numFmtId="0" fontId="4" fillId="0" borderId="5" xfId="0" applyFont="1" applyBorder="1"/>
    <xf numFmtId="0" fontId="6" fillId="2" borderId="6" xfId="0" applyFont="1" applyFill="1" applyBorder="1" applyAlignment="1">
      <alignment vertical="center"/>
    </xf>
    <xf numFmtId="172" fontId="7" fillId="2" borderId="6" xfId="0" applyNumberFormat="1" applyFont="1" applyFill="1" applyBorder="1" applyAlignment="1">
      <alignment horizontal="right"/>
    </xf>
    <xf numFmtId="0" fontId="7" fillId="0" borderId="6" xfId="0" applyFont="1" applyBorder="1"/>
    <xf numFmtId="0" fontId="6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right"/>
    </xf>
    <xf numFmtId="0" fontId="7" fillId="0" borderId="4" xfId="0" applyFont="1" applyBorder="1" applyAlignment="1">
      <alignment horizontal="center" vertical="center" wrapText="1"/>
    </xf>
    <xf numFmtId="6" fontId="7" fillId="2" borderId="4" xfId="0" applyNumberFormat="1" applyFont="1" applyFill="1" applyBorder="1" applyAlignment="1">
      <alignment horizontal="right"/>
    </xf>
    <xf numFmtId="0" fontId="16" fillId="0" borderId="0" xfId="0" applyFont="1"/>
    <xf numFmtId="0" fontId="6" fillId="6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horizontal="right"/>
    </xf>
    <xf numFmtId="0" fontId="7" fillId="6" borderId="4" xfId="0" applyFont="1" applyFill="1" applyBorder="1"/>
    <xf numFmtId="6" fontId="4" fillId="6" borderId="0" xfId="0" applyNumberFormat="1" applyFont="1" applyFill="1"/>
    <xf numFmtId="0" fontId="7" fillId="6" borderId="4" xfId="0" applyFont="1" applyFill="1" applyBorder="1" applyAlignment="1">
      <alignment horizontal="center" vertical="center"/>
    </xf>
    <xf numFmtId="8" fontId="7" fillId="6" borderId="4" xfId="0" applyNumberFormat="1" applyFont="1" applyFill="1" applyBorder="1"/>
    <xf numFmtId="6" fontId="7" fillId="6" borderId="4" xfId="0" applyNumberFormat="1" applyFont="1" applyFill="1" applyBorder="1" applyAlignment="1">
      <alignment horizontal="right"/>
    </xf>
    <xf numFmtId="0" fontId="7" fillId="6" borderId="6" xfId="0" applyFont="1" applyFill="1" applyBorder="1"/>
    <xf numFmtId="8" fontId="7" fillId="6" borderId="4" xfId="0" applyNumberFormat="1" applyFont="1" applyFill="1" applyBorder="1" applyAlignment="1">
      <alignment horizontal="right"/>
    </xf>
    <xf numFmtId="8" fontId="7" fillId="6" borderId="0" xfId="0" applyNumberFormat="1" applyFont="1" applyFill="1"/>
    <xf numFmtId="0" fontId="6" fillId="6" borderId="5" xfId="0" applyFont="1" applyFill="1" applyBorder="1" applyAlignment="1">
      <alignment vertical="center"/>
    </xf>
    <xf numFmtId="6" fontId="7" fillId="6" borderId="5" xfId="0" applyNumberFormat="1" applyFont="1" applyFill="1" applyBorder="1" applyAlignment="1">
      <alignment horizontal="right"/>
    </xf>
    <xf numFmtId="0" fontId="7" fillId="6" borderId="5" xfId="0" applyFont="1" applyFill="1" applyBorder="1"/>
    <xf numFmtId="8" fontId="7" fillId="6" borderId="5" xfId="0" applyNumberFormat="1" applyFont="1" applyFill="1" applyBorder="1"/>
    <xf numFmtId="0" fontId="4" fillId="6" borderId="5" xfId="0" applyFont="1" applyFill="1" applyBorder="1"/>
    <xf numFmtId="0" fontId="12" fillId="2" borderId="4" xfId="0" applyFont="1" applyFill="1" applyBorder="1" applyAlignment="1">
      <alignment horizontal="left" vertical="center"/>
    </xf>
    <xf numFmtId="6" fontId="11" fillId="2" borderId="4" xfId="0" applyNumberFormat="1" applyFont="1" applyFill="1" applyBorder="1"/>
    <xf numFmtId="0" fontId="10" fillId="6" borderId="4" xfId="0" applyFont="1" applyFill="1" applyBorder="1"/>
    <xf numFmtId="0" fontId="12" fillId="6" borderId="4" xfId="0" applyFont="1" applyFill="1" applyBorder="1" applyAlignment="1">
      <alignment horizontal="left" vertical="center"/>
    </xf>
    <xf numFmtId="0" fontId="11" fillId="6" borderId="4" xfId="0" applyFont="1" applyFill="1" applyBorder="1"/>
    <xf numFmtId="8" fontId="10" fillId="6" borderId="4" xfId="0" applyNumberFormat="1" applyFont="1" applyFill="1" applyBorder="1"/>
    <xf numFmtId="0" fontId="10" fillId="0" borderId="4" xfId="0" applyFont="1" applyBorder="1"/>
    <xf numFmtId="6" fontId="15" fillId="4" borderId="4" xfId="0" applyNumberFormat="1" applyFont="1" applyFill="1" applyBorder="1"/>
    <xf numFmtId="0" fontId="11" fillId="2" borderId="4" xfId="0" applyFont="1" applyFill="1" applyBorder="1"/>
    <xf numFmtId="6" fontId="15" fillId="7" borderId="4" xfId="0" applyNumberFormat="1" applyFont="1" applyFill="1" applyBorder="1"/>
    <xf numFmtId="0" fontId="17" fillId="0" borderId="0" xfId="0" applyFont="1"/>
    <xf numFmtId="0" fontId="18" fillId="0" borderId="1" xfId="0" applyFont="1" applyBorder="1" applyAlignment="1">
      <alignment vertical="center"/>
    </xf>
    <xf numFmtId="0" fontId="19" fillId="0" borderId="0" xfId="0" applyFont="1"/>
    <xf numFmtId="0" fontId="20" fillId="0" borderId="1" xfId="0" applyFont="1" applyBorder="1" applyAlignment="1">
      <alignment vertical="center"/>
    </xf>
    <xf numFmtId="8" fontId="21" fillId="0" borderId="0" xfId="0" applyNumberFormat="1" applyFon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b/>
        <i val="0"/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24"/>
        <color rgb="FFFFFFFF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B7BDCE-E531-3B40-9C88-55C8C142A748}" name="Table17" displayName="Table17" ref="B2:G20" totalsRowShown="0" headerRowDxfId="7" dataDxfId="0">
  <autoFilter ref="B2:G20" xr:uid="{38B7BDCE-E531-3B40-9C88-55C8C142A748}"/>
  <tableColumns count="6">
    <tableColumn id="1" xr3:uid="{066E26A1-5A27-924B-9ED5-0EFB2D7C2F87}" name="S.No" dataDxfId="6"/>
    <tableColumn id="2" xr3:uid="{D4870365-EDF7-254D-BB56-2EEBE325A906}" name="PARAMETERS" dataDxfId="5"/>
    <tableColumn id="3" xr3:uid="{2B5D8F0C-B1CA-7147-A0A9-47D6E317C51B}" name="VALUES" dataDxfId="4"/>
    <tableColumn id="4" xr3:uid="{FA9D3241-6771-7B47-B4F1-6418D73CFFF8}" name="TERMS" dataDxfId="3"/>
    <tableColumn id="5" xr3:uid="{9E536F7B-7C12-4048-8590-BF2CF4045652}" name="ASSUMPTIONS" dataDxfId="2"/>
    <tableColumn id="6" xr3:uid="{597A4D07-A869-7146-8426-C4B53713A2A0}" name="CONTAIN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BE4DC0-0A88-624D-867A-2CB32740256D}" name="Table24" displayName="Table24" ref="C3:G12" totalsRowShown="0" headerRowDxfId="14" dataDxfId="8">
  <autoFilter ref="C3:G12" xr:uid="{41BE4DC0-0A88-624D-867A-2CB32740256D}"/>
  <tableColumns count="5">
    <tableColumn id="1" xr3:uid="{CC55C7BD-4D42-4040-A81C-63F62A8927E3}" name="S.No" dataDxfId="13"/>
    <tableColumn id="2" xr3:uid="{B623C93F-99E8-9747-964A-D6239143EA79}" name="PARAMETERS" dataDxfId="12"/>
    <tableColumn id="3" xr3:uid="{57F99645-6CA1-B747-A01C-DC342585DC1F}" name="VALUES" dataDxfId="11"/>
    <tableColumn id="4" xr3:uid="{935C51B0-FE13-0D4D-A4F6-968C3A53340D}" name="TERMS" dataDxfId="10"/>
    <tableColumn id="5" xr3:uid="{F737CC0C-4230-8E48-ADAF-75EB7EE10C86}" name="ASSUMPTION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0C41-9262-F640-B088-424AC58F0AA2}">
  <dimension ref="B2:J56"/>
  <sheetViews>
    <sheetView zoomScale="49" workbookViewId="0">
      <selection activeCell="C53" sqref="C53"/>
    </sheetView>
  </sheetViews>
  <sheetFormatPr baseColWidth="10" defaultRowHeight="16" x14ac:dyDescent="0.2"/>
  <cols>
    <col min="2" max="2" width="32.83203125" customWidth="1"/>
    <col min="3" max="3" width="164.5" bestFit="1" customWidth="1"/>
    <col min="4" max="4" width="47.83203125" bestFit="1" customWidth="1"/>
    <col min="5" max="5" width="26.5" bestFit="1" customWidth="1"/>
    <col min="6" max="6" width="117.5" bestFit="1" customWidth="1"/>
    <col min="7" max="7" width="158.5" bestFit="1" customWidth="1"/>
    <col min="8" max="8" width="14.33203125" customWidth="1"/>
  </cols>
  <sheetData>
    <row r="2" spans="2:7" ht="31" x14ac:dyDescent="0.35">
      <c r="B2" s="20" t="s">
        <v>1</v>
      </c>
      <c r="C2" s="20" t="s">
        <v>0</v>
      </c>
      <c r="D2" s="20" t="s">
        <v>2</v>
      </c>
      <c r="E2" s="20" t="s">
        <v>17</v>
      </c>
      <c r="F2" s="20" t="s">
        <v>3</v>
      </c>
      <c r="G2" s="20" t="s">
        <v>72</v>
      </c>
    </row>
    <row r="3" spans="2:7" ht="23" x14ac:dyDescent="0.25">
      <c r="B3" s="12">
        <v>1</v>
      </c>
      <c r="C3" s="13" t="s">
        <v>4</v>
      </c>
      <c r="D3" s="14">
        <v>20000000</v>
      </c>
      <c r="E3" s="12"/>
      <c r="F3" s="12"/>
      <c r="G3" s="12"/>
    </row>
    <row r="4" spans="2:7" ht="23" x14ac:dyDescent="0.25">
      <c r="B4" s="12">
        <v>2</v>
      </c>
      <c r="C4" s="13" t="s">
        <v>5</v>
      </c>
      <c r="D4" s="15">
        <v>25</v>
      </c>
      <c r="E4" s="12" t="s">
        <v>18</v>
      </c>
      <c r="F4" s="12"/>
      <c r="G4" s="12"/>
    </row>
    <row r="5" spans="2:7" ht="23" x14ac:dyDescent="0.25">
      <c r="B5" s="12">
        <v>3</v>
      </c>
      <c r="C5" s="13" t="s">
        <v>6</v>
      </c>
      <c r="D5" s="14">
        <f>Initial_Home_Purchase_Price*Down_Payment_Percent/100</f>
        <v>5000000</v>
      </c>
      <c r="E5" s="12"/>
      <c r="F5" s="12"/>
      <c r="G5" s="12"/>
    </row>
    <row r="6" spans="2:7" ht="23" x14ac:dyDescent="0.25">
      <c r="B6" s="12">
        <v>4</v>
      </c>
      <c r="C6" s="13" t="s">
        <v>7</v>
      </c>
      <c r="D6" s="15">
        <v>8</v>
      </c>
      <c r="E6" s="12" t="s">
        <v>40</v>
      </c>
      <c r="F6" s="12"/>
      <c r="G6" s="12"/>
    </row>
    <row r="7" spans="2:7" ht="23" x14ac:dyDescent="0.25">
      <c r="B7" s="12">
        <v>5</v>
      </c>
      <c r="C7" s="13" t="s">
        <v>39</v>
      </c>
      <c r="D7" s="16">
        <f>((1+Interest_Rate/(12*100))^12-1)*100</f>
        <v>8.2999506807509995</v>
      </c>
      <c r="E7" s="12" t="s">
        <v>19</v>
      </c>
      <c r="F7" s="12" t="s">
        <v>41</v>
      </c>
      <c r="G7" s="12"/>
    </row>
    <row r="8" spans="2:7" ht="23" x14ac:dyDescent="0.25">
      <c r="B8" s="12">
        <v>6</v>
      </c>
      <c r="C8" s="13" t="s">
        <v>43</v>
      </c>
      <c r="D8" s="17">
        <f>Initial_Home_Purchase_Price-Down_Payment_Amount</f>
        <v>15000000</v>
      </c>
      <c r="E8" s="12"/>
      <c r="F8" s="12"/>
      <c r="G8" s="12"/>
    </row>
    <row r="9" spans="2:7" ht="23" x14ac:dyDescent="0.25">
      <c r="B9" s="12">
        <v>7</v>
      </c>
      <c r="C9" s="13" t="s">
        <v>8</v>
      </c>
      <c r="D9" s="15">
        <v>15</v>
      </c>
      <c r="E9" s="12" t="s">
        <v>16</v>
      </c>
      <c r="F9" s="12"/>
      <c r="G9" s="12"/>
    </row>
    <row r="10" spans="2:7" ht="23" x14ac:dyDescent="0.25">
      <c r="B10" s="12">
        <v>8</v>
      </c>
      <c r="C10" s="13" t="s">
        <v>42</v>
      </c>
      <c r="D10" s="18">
        <f>-PMT(Effective_Interest_Rate_for_Loan/1200,Loan_Term*12,Initial_Home_Purchase_Price-Down_Payment_Amount)</f>
        <v>145957.27244482876</v>
      </c>
      <c r="E10" s="12"/>
      <c r="F10" s="12"/>
      <c r="G10" s="12"/>
    </row>
    <row r="11" spans="2:7" ht="23" x14ac:dyDescent="0.25">
      <c r="B11" s="12">
        <v>9</v>
      </c>
      <c r="C11" s="13" t="s">
        <v>9</v>
      </c>
      <c r="D11" s="15">
        <v>5</v>
      </c>
      <c r="E11" s="12" t="s">
        <v>19</v>
      </c>
      <c r="F11" s="12"/>
      <c r="G11" s="12" t="s">
        <v>20</v>
      </c>
    </row>
    <row r="12" spans="2:7" ht="23" x14ac:dyDescent="0.25">
      <c r="B12" s="12">
        <v>10</v>
      </c>
      <c r="C12" s="13" t="s">
        <v>59</v>
      </c>
      <c r="D12" s="14">
        <f>Initial_Home_Purchase_Price*Buying_Closing_Cost/100</f>
        <v>1000000</v>
      </c>
      <c r="E12" s="12"/>
      <c r="F12" s="12"/>
      <c r="G12" s="12"/>
    </row>
    <row r="13" spans="2:7" ht="23" x14ac:dyDescent="0.25">
      <c r="B13" s="12">
        <v>11</v>
      </c>
      <c r="C13" s="13" t="s">
        <v>10</v>
      </c>
      <c r="D13" s="15">
        <v>1</v>
      </c>
      <c r="E13" s="12" t="s">
        <v>21</v>
      </c>
      <c r="F13" s="12" t="s">
        <v>45</v>
      </c>
      <c r="G13" s="12"/>
    </row>
    <row r="14" spans="2:7" ht="23" x14ac:dyDescent="0.25">
      <c r="B14" s="12">
        <v>12</v>
      </c>
      <c r="C14" s="13" t="s">
        <v>23</v>
      </c>
      <c r="D14" s="15">
        <v>2</v>
      </c>
      <c r="E14" s="12" t="s">
        <v>21</v>
      </c>
      <c r="F14" s="12"/>
      <c r="G14" s="12"/>
    </row>
    <row r="15" spans="2:7" ht="23" x14ac:dyDescent="0.25">
      <c r="B15" s="12">
        <v>13</v>
      </c>
      <c r="C15" s="13" t="s">
        <v>11</v>
      </c>
      <c r="D15" s="19">
        <v>10000</v>
      </c>
      <c r="E15" s="12" t="s">
        <v>22</v>
      </c>
      <c r="F15" s="12" t="s">
        <v>37</v>
      </c>
      <c r="G15" s="12" t="s">
        <v>24</v>
      </c>
    </row>
    <row r="16" spans="2:7" ht="23" x14ac:dyDescent="0.25">
      <c r="B16" s="12">
        <v>14</v>
      </c>
      <c r="C16" s="13" t="s">
        <v>12</v>
      </c>
      <c r="D16" s="14">
        <v>60000</v>
      </c>
      <c r="E16" s="12" t="s">
        <v>22</v>
      </c>
      <c r="F16" s="12" t="s">
        <v>37</v>
      </c>
      <c r="G16" s="12" t="s">
        <v>25</v>
      </c>
    </row>
    <row r="17" spans="2:10" ht="23" x14ac:dyDescent="0.25">
      <c r="B17" s="12">
        <v>15</v>
      </c>
      <c r="C17" s="13" t="s">
        <v>13</v>
      </c>
      <c r="D17" s="15">
        <v>1</v>
      </c>
      <c r="E17" s="12" t="s">
        <v>21</v>
      </c>
      <c r="F17" s="12" t="s">
        <v>37</v>
      </c>
      <c r="G17" s="12" t="s">
        <v>26</v>
      </c>
    </row>
    <row r="18" spans="2:10" ht="23" x14ac:dyDescent="0.25">
      <c r="B18" s="12">
        <v>16</v>
      </c>
      <c r="C18" s="13" t="s">
        <v>14</v>
      </c>
      <c r="D18" s="15">
        <v>7</v>
      </c>
      <c r="E18" s="12" t="s">
        <v>21</v>
      </c>
      <c r="F18" s="12"/>
      <c r="G18" s="12"/>
    </row>
    <row r="19" spans="2:10" ht="23" x14ac:dyDescent="0.25">
      <c r="B19" s="12">
        <v>17</v>
      </c>
      <c r="C19" s="13" t="s">
        <v>15</v>
      </c>
      <c r="D19" s="15">
        <v>5</v>
      </c>
      <c r="E19" s="12" t="s">
        <v>18</v>
      </c>
      <c r="F19" s="12"/>
      <c r="G19" s="12" t="s">
        <v>38</v>
      </c>
    </row>
    <row r="20" spans="2:10" ht="23" x14ac:dyDescent="0.25">
      <c r="B20" s="12">
        <v>18</v>
      </c>
      <c r="C20" s="13" t="s">
        <v>50</v>
      </c>
      <c r="D20" s="15">
        <v>10</v>
      </c>
      <c r="E20" s="12" t="s">
        <v>16</v>
      </c>
      <c r="F20" s="12" t="s">
        <v>51</v>
      </c>
      <c r="G20" s="12"/>
    </row>
    <row r="21" spans="2:10" ht="20" x14ac:dyDescent="0.2">
      <c r="B21" s="21" t="s">
        <v>35</v>
      </c>
      <c r="C21" s="21"/>
      <c r="D21" s="21"/>
      <c r="E21" s="21"/>
      <c r="F21" s="21"/>
      <c r="G21" s="21"/>
    </row>
    <row r="23" spans="2:10" ht="21" x14ac:dyDescent="0.25">
      <c r="C23" s="27" t="s">
        <v>9</v>
      </c>
      <c r="D23" s="28">
        <v>5</v>
      </c>
      <c r="E23" s="29" t="s">
        <v>19</v>
      </c>
      <c r="F23" s="30"/>
    </row>
    <row r="24" spans="2:10" ht="21" x14ac:dyDescent="0.25">
      <c r="C24" s="49" t="s">
        <v>59</v>
      </c>
      <c r="D24" s="50">
        <f>Initial_Home_Purchase_Price*Buying_Closing_Cost/100</f>
        <v>1000000</v>
      </c>
      <c r="E24" s="51"/>
      <c r="F24" s="30"/>
    </row>
    <row r="25" spans="2:10" ht="21" x14ac:dyDescent="0.25">
      <c r="C25" s="27" t="s">
        <v>60</v>
      </c>
      <c r="D25" s="52">
        <f>Buying_Closing_Cost_Amount*(1+Buying_Closing_Cost/100)^(Number_of_Years_of_Ownership)</f>
        <v>1628894.6267774415</v>
      </c>
      <c r="E25" s="53"/>
      <c r="F25" s="30" t="s">
        <v>74</v>
      </c>
    </row>
    <row r="26" spans="2:10" ht="21" x14ac:dyDescent="0.25">
      <c r="C26" s="30"/>
      <c r="D26" s="30"/>
      <c r="E26" s="30"/>
      <c r="F26" s="30"/>
    </row>
    <row r="27" spans="2:10" ht="20" x14ac:dyDescent="0.2">
      <c r="C27" s="31" t="s">
        <v>39</v>
      </c>
      <c r="D27" s="32">
        <f>((1+Interest_Rate/(12*100))^12-1)*100</f>
        <v>8.2999506807509995</v>
      </c>
      <c r="E27" s="46" t="s">
        <v>18</v>
      </c>
      <c r="F27" s="33"/>
    </row>
    <row r="28" spans="2:10" ht="20" x14ac:dyDescent="0.2">
      <c r="C28" s="39" t="s">
        <v>44</v>
      </c>
      <c r="D28" s="47">
        <f>-PMT(Effective_Interest_Rate_for_Loan/1200,Loan_Term*12,Initial_Home_Purchase_Price-Down_Payment_Amount)</f>
        <v>145957.27244482876</v>
      </c>
      <c r="E28" s="41"/>
      <c r="F28" s="9" t="s">
        <v>75</v>
      </c>
    </row>
    <row r="29" spans="2:10" ht="20" x14ac:dyDescent="0.2">
      <c r="C29" s="39" t="s">
        <v>58</v>
      </c>
      <c r="D29" s="47">
        <f>Effective_EMI*12</f>
        <v>1751487.2693379452</v>
      </c>
      <c r="E29" s="41"/>
      <c r="F29" s="9" t="s">
        <v>76</v>
      </c>
    </row>
    <row r="30" spans="2:10" ht="20" x14ac:dyDescent="0.2">
      <c r="C30" s="39" t="s">
        <v>69</v>
      </c>
      <c r="D30" s="48">
        <f>-FV(Effective_Interest_Rate_for_Loan/1200,Loan_Term*12,Effective_EMI)</f>
        <v>51870850.257902287</v>
      </c>
      <c r="E30" s="41"/>
      <c r="F30" s="9" t="s">
        <v>77</v>
      </c>
      <c r="G30" s="8"/>
    </row>
    <row r="31" spans="2:10" ht="20" x14ac:dyDescent="0.2">
      <c r="C31" s="9"/>
      <c r="D31" s="9"/>
      <c r="E31" s="9"/>
      <c r="F31" s="9"/>
    </row>
    <row r="32" spans="2:10" ht="20" x14ac:dyDescent="0.2">
      <c r="C32" s="34" t="s">
        <v>10</v>
      </c>
      <c r="D32" s="35">
        <v>1</v>
      </c>
      <c r="E32" s="10" t="s">
        <v>21</v>
      </c>
      <c r="F32" s="9"/>
      <c r="H32" s="2"/>
      <c r="J32" s="6"/>
    </row>
    <row r="33" spans="3:8" ht="20" x14ac:dyDescent="0.2">
      <c r="C33" s="39" t="s">
        <v>23</v>
      </c>
      <c r="D33" s="40">
        <v>2</v>
      </c>
      <c r="E33" s="41" t="s">
        <v>21</v>
      </c>
      <c r="F33" s="9"/>
    </row>
    <row r="34" spans="3:8" ht="20" x14ac:dyDescent="0.2">
      <c r="C34" s="34" t="s">
        <v>46</v>
      </c>
      <c r="D34" s="41">
        <f>Property_Tax*Initial_Home_Purchase_Price/100</f>
        <v>200000</v>
      </c>
      <c r="E34" s="41" t="s">
        <v>22</v>
      </c>
      <c r="F34" s="9"/>
    </row>
    <row r="35" spans="3:8" ht="84" x14ac:dyDescent="0.25">
      <c r="C35" s="34" t="s">
        <v>47</v>
      </c>
      <c r="D35" s="42" cm="1">
        <f t="array" ref="D35">SUMPRODUCT(200000*(1+2%)^(ROW(A1:A10)-1)*(1+8.3%)^(10-(ROW(A1:A10)-1)))</f>
        <v>3440350.3628062336</v>
      </c>
      <c r="E35" s="43" t="s">
        <v>48</v>
      </c>
      <c r="F35" s="36" t="s">
        <v>71</v>
      </c>
    </row>
    <row r="36" spans="3:8" ht="21" x14ac:dyDescent="0.25">
      <c r="C36" s="9"/>
      <c r="D36" s="9"/>
      <c r="E36" s="9"/>
      <c r="F36" s="7"/>
    </row>
    <row r="37" spans="3:8" ht="20" x14ac:dyDescent="0.2">
      <c r="C37" s="34" t="s">
        <v>11</v>
      </c>
      <c r="D37" s="37">
        <v>10000</v>
      </c>
      <c r="E37" s="10" t="s">
        <v>22</v>
      </c>
      <c r="F37" s="9"/>
    </row>
    <row r="38" spans="3:8" ht="20" x14ac:dyDescent="0.2">
      <c r="C38" s="34" t="s">
        <v>49</v>
      </c>
      <c r="D38" s="44">
        <f>-FV(Effective_Interest_Rate_for_Loan/100,Number_of_Years_of_Ownership,Home_Insurance)</f>
        <v>146945.47973318279</v>
      </c>
      <c r="E38" s="41"/>
      <c r="F38" s="9" t="s">
        <v>78</v>
      </c>
    </row>
    <row r="39" spans="3:8" ht="20" x14ac:dyDescent="0.2">
      <c r="C39" s="9"/>
      <c r="D39" s="9"/>
      <c r="E39" s="9"/>
      <c r="F39" s="9"/>
    </row>
    <row r="40" spans="3:8" ht="20" x14ac:dyDescent="0.2">
      <c r="C40" s="39" t="s">
        <v>12</v>
      </c>
      <c r="D40" s="45">
        <v>60000</v>
      </c>
      <c r="E40" s="41" t="s">
        <v>22</v>
      </c>
      <c r="F40" s="9"/>
    </row>
    <row r="41" spans="3:8" ht="20" x14ac:dyDescent="0.2">
      <c r="C41" s="34" t="s">
        <v>52</v>
      </c>
      <c r="D41" s="44">
        <f>-FV(Effective_Interest_Rate_for_Loan/100,Number_of_Years_of_Ownership,House_Owner_Association__HOA__Fee)</f>
        <v>881672.87839909678</v>
      </c>
      <c r="E41" s="41"/>
      <c r="F41" s="9" t="s">
        <v>77</v>
      </c>
    </row>
    <row r="42" spans="3:8" ht="20" x14ac:dyDescent="0.2">
      <c r="C42" s="9"/>
      <c r="D42" s="9"/>
      <c r="E42" s="9"/>
      <c r="F42" s="9"/>
    </row>
    <row r="43" spans="3:8" ht="20" x14ac:dyDescent="0.2">
      <c r="C43" s="34" t="s">
        <v>13</v>
      </c>
      <c r="D43" s="35">
        <v>1</v>
      </c>
      <c r="E43" s="10" t="s">
        <v>21</v>
      </c>
      <c r="F43" s="9"/>
    </row>
    <row r="44" spans="3:8" ht="20" x14ac:dyDescent="0.2">
      <c r="C44" s="34" t="s">
        <v>53</v>
      </c>
      <c r="D44" s="41">
        <f>Maintenance_Cost/100*Initial_Home_Purchase_Price</f>
        <v>200000</v>
      </c>
      <c r="E44" s="41"/>
      <c r="F44" s="9"/>
      <c r="H44" s="3"/>
    </row>
    <row r="45" spans="3:8" ht="20" x14ac:dyDescent="0.2">
      <c r="C45" s="34" t="s">
        <v>54</v>
      </c>
      <c r="D45" s="44">
        <f>-FV(Effective_Interest_Rate_for_Loan/100,Number_of_Years_of_Ownership,D44)</f>
        <v>2938909.5946636559</v>
      </c>
      <c r="E45" s="41"/>
      <c r="F45" s="9" t="s">
        <v>77</v>
      </c>
    </row>
    <row r="46" spans="3:8" ht="20" x14ac:dyDescent="0.2">
      <c r="C46" s="9"/>
      <c r="D46" s="9"/>
      <c r="E46" s="9"/>
      <c r="F46" s="9"/>
      <c r="H46" s="2"/>
    </row>
    <row r="47" spans="3:8" ht="20" x14ac:dyDescent="0.2">
      <c r="C47" s="39" t="s">
        <v>14</v>
      </c>
      <c r="D47" s="40">
        <v>7</v>
      </c>
      <c r="E47" s="41" t="s">
        <v>21</v>
      </c>
      <c r="F47" s="9"/>
    </row>
    <row r="48" spans="3:8" ht="21" x14ac:dyDescent="0.25">
      <c r="C48" s="39" t="s">
        <v>55</v>
      </c>
      <c r="D48" s="44">
        <f>Initial_Home_Purchase_Price*(1+Home_Value_Appreciation/100)^Number_of_Years_of_Ownership</f>
        <v>39343027.145791315</v>
      </c>
      <c r="E48" s="41"/>
      <c r="F48" s="30" t="s">
        <v>74</v>
      </c>
    </row>
    <row r="49" spans="3:6" ht="20" x14ac:dyDescent="0.2">
      <c r="C49" s="9"/>
      <c r="D49" s="9"/>
      <c r="E49" s="9"/>
      <c r="F49" s="9"/>
    </row>
    <row r="50" spans="3:6" ht="20" x14ac:dyDescent="0.2">
      <c r="C50" s="34" t="s">
        <v>15</v>
      </c>
      <c r="D50" s="35">
        <v>5</v>
      </c>
      <c r="E50" s="10" t="s">
        <v>18</v>
      </c>
      <c r="F50" s="9"/>
    </row>
    <row r="51" spans="3:6" ht="20" x14ac:dyDescent="0.2">
      <c r="C51" s="34" t="s">
        <v>56</v>
      </c>
      <c r="D51" s="44">
        <f>Selling_Closing_Price___Associated_Cost/100*Value_of_Home_after_the_total_Number_of_Years_of_Ownership</f>
        <v>1967151.3572895657</v>
      </c>
      <c r="E51" s="41"/>
      <c r="F51" s="9"/>
    </row>
    <row r="53" spans="3:6" ht="47" x14ac:dyDescent="0.55000000000000004">
      <c r="C53" s="67" t="s">
        <v>57</v>
      </c>
      <c r="D53" s="68">
        <f>-Down_Payment_Amount-Total_EMI_paid_over_the_period__Future_Value-Total_Home_Insurance_over_the_period-Total_House_Owner_Association__HOA__Fee_over_the_period-Total_Maintenance_Amount_paid_over_the_period-Total_Property_Tax_over_the_period+Value_of_Home_after_the_total_Number_of_Years_of_Ownership-Future_Value_of_Buying_Closing_Amount</f>
        <v>-26564596.054490581</v>
      </c>
      <c r="F53" s="38" t="s">
        <v>73</v>
      </c>
    </row>
    <row r="56" spans="3:6" x14ac:dyDescent="0.2">
      <c r="F56" s="3"/>
    </row>
  </sheetData>
  <mergeCells count="1">
    <mergeCell ref="B21:G2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A2F4-0D2A-694A-AB74-2C8DC6189CED}">
  <dimension ref="C3:G38"/>
  <sheetViews>
    <sheetView zoomScale="75" workbookViewId="0">
      <selection activeCell="F38" sqref="F38"/>
    </sheetView>
  </sheetViews>
  <sheetFormatPr baseColWidth="10" defaultRowHeight="16" x14ac:dyDescent="0.2"/>
  <cols>
    <col min="3" max="3" width="31" customWidth="1"/>
    <col min="4" max="4" width="119" bestFit="1" customWidth="1"/>
    <col min="5" max="5" width="28.33203125" bestFit="1" customWidth="1"/>
    <col min="6" max="6" width="39.1640625" customWidth="1"/>
    <col min="7" max="7" width="115.6640625" bestFit="1" customWidth="1"/>
  </cols>
  <sheetData>
    <row r="3" spans="3:7" ht="31" x14ac:dyDescent="0.35">
      <c r="C3" s="22" t="s">
        <v>1</v>
      </c>
      <c r="D3" s="23" t="s">
        <v>0</v>
      </c>
      <c r="E3" s="23" t="s">
        <v>2</v>
      </c>
      <c r="F3" s="23" t="s">
        <v>17</v>
      </c>
      <c r="G3" s="23" t="s">
        <v>3</v>
      </c>
    </row>
    <row r="4" spans="3:7" ht="23" x14ac:dyDescent="0.25">
      <c r="C4" s="12">
        <v>1</v>
      </c>
      <c r="D4" s="24" t="s">
        <v>27</v>
      </c>
      <c r="E4" s="25">
        <v>40000</v>
      </c>
      <c r="F4" s="12"/>
      <c r="G4" s="12"/>
    </row>
    <row r="5" spans="3:7" ht="23" x14ac:dyDescent="0.25">
      <c r="C5" s="12">
        <v>2</v>
      </c>
      <c r="D5" s="24" t="s">
        <v>28</v>
      </c>
      <c r="E5" s="12">
        <v>5</v>
      </c>
      <c r="F5" s="12" t="s">
        <v>21</v>
      </c>
      <c r="G5" s="12"/>
    </row>
    <row r="6" spans="3:7" ht="23" x14ac:dyDescent="0.25">
      <c r="C6" s="12">
        <v>3</v>
      </c>
      <c r="D6" s="24" t="s">
        <v>29</v>
      </c>
      <c r="E6" s="26">
        <v>1000</v>
      </c>
      <c r="F6" s="12" t="s">
        <v>33</v>
      </c>
      <c r="G6" s="12"/>
    </row>
    <row r="7" spans="3:7" ht="23" x14ac:dyDescent="0.25">
      <c r="C7" s="12">
        <v>4</v>
      </c>
      <c r="D7" s="24" t="s">
        <v>30</v>
      </c>
      <c r="E7" s="26">
        <v>1500</v>
      </c>
      <c r="F7" s="12" t="s">
        <v>33</v>
      </c>
      <c r="G7" s="12"/>
    </row>
    <row r="8" spans="3:7" ht="23" x14ac:dyDescent="0.25">
      <c r="C8" s="12">
        <v>5</v>
      </c>
      <c r="D8" s="24" t="s">
        <v>32</v>
      </c>
      <c r="E8" s="26">
        <v>240000</v>
      </c>
      <c r="F8" s="12"/>
      <c r="G8" s="12" t="s">
        <v>64</v>
      </c>
    </row>
    <row r="9" spans="3:7" ht="23" x14ac:dyDescent="0.25">
      <c r="C9" s="12">
        <v>6</v>
      </c>
      <c r="D9" s="24" t="s">
        <v>31</v>
      </c>
      <c r="E9" s="26">
        <v>140000</v>
      </c>
      <c r="F9" s="12"/>
      <c r="G9" s="12" t="s">
        <v>34</v>
      </c>
    </row>
    <row r="10" spans="3:7" ht="23" x14ac:dyDescent="0.25">
      <c r="C10" s="12">
        <v>7</v>
      </c>
      <c r="D10" s="13" t="s">
        <v>70</v>
      </c>
      <c r="E10" s="15">
        <v>10</v>
      </c>
      <c r="F10" s="12" t="s">
        <v>16</v>
      </c>
      <c r="G10" s="12" t="s">
        <v>65</v>
      </c>
    </row>
    <row r="11" spans="3:7" ht="23" x14ac:dyDescent="0.25">
      <c r="C11" s="12">
        <v>8</v>
      </c>
      <c r="D11" s="13" t="s">
        <v>7</v>
      </c>
      <c r="E11" s="15">
        <v>8</v>
      </c>
      <c r="F11" s="12" t="s">
        <v>40</v>
      </c>
      <c r="G11" s="12"/>
    </row>
    <row r="12" spans="3:7" ht="23" x14ac:dyDescent="0.25">
      <c r="C12" s="12">
        <v>9</v>
      </c>
      <c r="D12" s="13" t="s">
        <v>39</v>
      </c>
      <c r="E12" s="16">
        <f>((1+Interest_Rate/(12*100))^12-1)*100</f>
        <v>8.2999506807509995</v>
      </c>
      <c r="F12" s="12" t="s">
        <v>19</v>
      </c>
      <c r="G12" s="12" t="s">
        <v>41</v>
      </c>
    </row>
    <row r="13" spans="3:7" ht="20" x14ac:dyDescent="0.2">
      <c r="C13" s="21" t="s">
        <v>36</v>
      </c>
      <c r="D13" s="21"/>
      <c r="E13" s="21"/>
      <c r="F13" s="21"/>
      <c r="G13" s="21"/>
    </row>
    <row r="14" spans="3:7" ht="18" x14ac:dyDescent="0.2">
      <c r="C14" s="1"/>
      <c r="D14" s="4"/>
      <c r="E14" s="5"/>
      <c r="F14" s="1"/>
      <c r="G14" s="1"/>
    </row>
    <row r="15" spans="3:7" ht="18" x14ac:dyDescent="0.2">
      <c r="C15" s="1"/>
      <c r="D15" s="4"/>
      <c r="E15" s="5"/>
      <c r="F15" s="1"/>
      <c r="G15" s="1"/>
    </row>
    <row r="21" spans="4:7" ht="24" x14ac:dyDescent="0.3">
      <c r="D21" s="54" t="s">
        <v>27</v>
      </c>
      <c r="E21" s="55">
        <v>40000</v>
      </c>
      <c r="F21" s="56"/>
    </row>
    <row r="22" spans="4:7" ht="23" x14ac:dyDescent="0.25">
      <c r="D22" s="57" t="s">
        <v>28</v>
      </c>
      <c r="E22" s="58">
        <v>5</v>
      </c>
      <c r="F22" s="58" t="s">
        <v>21</v>
      </c>
    </row>
    <row r="23" spans="4:7" ht="24" x14ac:dyDescent="0.3">
      <c r="D23" s="54" t="s">
        <v>61</v>
      </c>
      <c r="E23" s="59">
        <f>-FV(Rental_Cost_Increase/1200,Number_of_Years_of_Ownership*12,Monthly_Rental_Cost)</f>
        <v>6211291.1778267464</v>
      </c>
      <c r="F23" s="59"/>
      <c r="G23" s="11"/>
    </row>
    <row r="24" spans="4:7" ht="24" x14ac:dyDescent="0.3">
      <c r="D24" s="60"/>
      <c r="E24" s="60"/>
      <c r="F24" s="60"/>
    </row>
    <row r="25" spans="4:7" ht="24" x14ac:dyDescent="0.3">
      <c r="D25" s="60"/>
      <c r="E25" s="60"/>
      <c r="F25" s="60"/>
    </row>
    <row r="26" spans="4:7" ht="23" x14ac:dyDescent="0.25">
      <c r="D26" s="54" t="s">
        <v>29</v>
      </c>
      <c r="E26" s="61">
        <v>1000</v>
      </c>
      <c r="F26" s="62" t="s">
        <v>33</v>
      </c>
    </row>
    <row r="27" spans="4:7" ht="24" x14ac:dyDescent="0.3">
      <c r="D27" s="54" t="s">
        <v>62</v>
      </c>
      <c r="E27" s="59">
        <f>-FV(Effective_Interest_Rate_for_Loan/1200,12*Number_of_Years_of_Ownership,Renter_s_Insurance)</f>
        <v>186039.31878536296</v>
      </c>
      <c r="F27" s="56"/>
    </row>
    <row r="28" spans="4:7" ht="24" x14ac:dyDescent="0.3">
      <c r="D28" s="60"/>
      <c r="E28" s="60"/>
      <c r="F28" s="60"/>
    </row>
    <row r="29" spans="4:7" ht="23" x14ac:dyDescent="0.25">
      <c r="D29" s="57" t="s">
        <v>30</v>
      </c>
      <c r="E29" s="63">
        <v>1500</v>
      </c>
      <c r="F29" s="58" t="s">
        <v>33</v>
      </c>
    </row>
    <row r="30" spans="4:7" ht="24" x14ac:dyDescent="0.3">
      <c r="D30" s="54" t="s">
        <v>63</v>
      </c>
      <c r="E30" s="59">
        <f>-FV(Effective_Interest_Rate_for_Loan/1200,Number_of_Years_of_Ownership*12,Maintenance_fees)</f>
        <v>279058.97817804443</v>
      </c>
      <c r="F30" s="56"/>
    </row>
    <row r="31" spans="4:7" ht="24" x14ac:dyDescent="0.3">
      <c r="D31" s="60"/>
      <c r="E31" s="60"/>
      <c r="F31" s="60"/>
    </row>
    <row r="32" spans="4:7" ht="24" x14ac:dyDescent="0.3">
      <c r="D32" s="54" t="s">
        <v>32</v>
      </c>
      <c r="E32" s="63">
        <v>240000</v>
      </c>
      <c r="F32" s="56"/>
    </row>
    <row r="33" spans="4:6" ht="24" x14ac:dyDescent="0.3">
      <c r="D33" s="54" t="s">
        <v>66</v>
      </c>
      <c r="E33" s="56">
        <f>Security_deposit*(1+Effective_Interest_Rate_for_Loan/100)^(Number_of_Years_of_Ownership)</f>
        <v>532713.65629073104</v>
      </c>
      <c r="F33" s="56"/>
    </row>
    <row r="34" spans="4:6" ht="24" x14ac:dyDescent="0.3">
      <c r="D34" s="60"/>
      <c r="E34" s="60"/>
      <c r="F34" s="60"/>
    </row>
    <row r="35" spans="4:6" ht="24" x14ac:dyDescent="0.3">
      <c r="D35" s="57" t="s">
        <v>31</v>
      </c>
      <c r="E35" s="63">
        <v>140000</v>
      </c>
      <c r="F35" s="56"/>
    </row>
    <row r="36" spans="4:6" ht="24" x14ac:dyDescent="0.3">
      <c r="D36" s="54" t="s">
        <v>67</v>
      </c>
      <c r="E36" s="56">
        <f>Upfront_cost*(1+Effective_Interest_Rate_for_Loan/100)^(Number_of_Years_of_Ownership)</f>
        <v>310749.63283625979</v>
      </c>
      <c r="F36" s="56"/>
    </row>
    <row r="38" spans="4:6" ht="33" x14ac:dyDescent="0.35">
      <c r="D38" s="65" t="s">
        <v>68</v>
      </c>
      <c r="E38" s="66">
        <f>-Future_Value_of_Rent_paid_in_totality-Future_Value_of_Renter_s_Insurance_paid_in_totality-Future_Value_of_Maintenance_fees_paid_in_totality-Future_Value_of_the_Security_Deposit_paid-Future_Value_of_the_Upfront_Amount_paid</f>
        <v>-7519852.7639171453</v>
      </c>
      <c r="F38" s="64" t="s">
        <v>79</v>
      </c>
    </row>
  </sheetData>
  <mergeCells count="1">
    <mergeCell ref="C13:G1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E2AD-0E86-E34E-BB8E-4E3CD2CAE1C5}">
  <dimension ref="B2:C3"/>
  <sheetViews>
    <sheetView tabSelected="1" workbookViewId="0">
      <selection activeCell="C5" sqref="C5"/>
    </sheetView>
  </sheetViews>
  <sheetFormatPr baseColWidth="10" defaultRowHeight="16" x14ac:dyDescent="0.2"/>
  <cols>
    <col min="2" max="2" width="15.5" bestFit="1" customWidth="1"/>
    <col min="3" max="3" width="123.33203125" bestFit="1" customWidth="1"/>
  </cols>
  <sheetData>
    <row r="2" spans="2:3" x14ac:dyDescent="0.2">
      <c r="B2" t="s">
        <v>80</v>
      </c>
      <c r="C2" t="s">
        <v>81</v>
      </c>
    </row>
    <row r="3" spans="2:3" x14ac:dyDescent="0.2">
      <c r="C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43</vt:i4>
      </vt:variant>
    </vt:vector>
  </HeadingPairs>
  <TitlesOfParts>
    <vt:vector size="46" baseType="lpstr">
      <vt:lpstr>Buy the home</vt:lpstr>
      <vt:lpstr>Rent the home</vt:lpstr>
      <vt:lpstr>Decision Maker</vt:lpstr>
      <vt:lpstr>Buying_Closing_Cost</vt:lpstr>
      <vt:lpstr>Buying_Closing_Cost_Amount</vt:lpstr>
      <vt:lpstr>Down_Payment_Amount</vt:lpstr>
      <vt:lpstr>Down_Payment_Percent</vt:lpstr>
      <vt:lpstr>Effective_EMI</vt:lpstr>
      <vt:lpstr>'Buy the home'!Effective_Interest_Rate_for_Loan</vt:lpstr>
      <vt:lpstr>'Rent the home'!Effective_Interest_Rate_for_Loan</vt:lpstr>
      <vt:lpstr>Future_Value_of_Buying_Closing_Amount</vt:lpstr>
      <vt:lpstr>Future_Value_of_Maintenance_fees_paid_in_totality</vt:lpstr>
      <vt:lpstr>Future_Value_of_Rent_paid_in_totality</vt:lpstr>
      <vt:lpstr>Future_Value_of_Renter_s_Insurance_paid_in_totality</vt:lpstr>
      <vt:lpstr>Future_Value_of_the_Security_Deposit_paid</vt:lpstr>
      <vt:lpstr>Future_Value_of_the_Upfront_Amount_paid</vt:lpstr>
      <vt:lpstr>Home_Insurance</vt:lpstr>
      <vt:lpstr>Home_Value_Appreciation</vt:lpstr>
      <vt:lpstr>House_Owner_Association__HOA__Fee</vt:lpstr>
      <vt:lpstr>Initial_Home_Purchase_Price</vt:lpstr>
      <vt:lpstr>'Rent the home'!Interest_Rate</vt:lpstr>
      <vt:lpstr>Interest_Rate</vt:lpstr>
      <vt:lpstr>Loan_Term</vt:lpstr>
      <vt:lpstr>Maintenance_Cost</vt:lpstr>
      <vt:lpstr>Maintenance_fees</vt:lpstr>
      <vt:lpstr>Monthly_Rental_Cost</vt:lpstr>
      <vt:lpstr>NET_VALUE_OF_RENTING_A_HOUSE__FUTURE_VALUE</vt:lpstr>
      <vt:lpstr>'Rent the home'!Number_of_Years_of_Ownership</vt:lpstr>
      <vt:lpstr>Number_of_Years_of_Ownership</vt:lpstr>
      <vt:lpstr>Number_of_Years_of_Renting</vt:lpstr>
      <vt:lpstr>Property_Tax</vt:lpstr>
      <vt:lpstr>Property_Tax_Amount</vt:lpstr>
      <vt:lpstr>Property_Tax_Increase</vt:lpstr>
      <vt:lpstr>Rental_Cost_Increase</vt:lpstr>
      <vt:lpstr>Renter_s_Insurance</vt:lpstr>
      <vt:lpstr>Security_deposit</vt:lpstr>
      <vt:lpstr>Selling_Closing_Price___Associated_Amount</vt:lpstr>
      <vt:lpstr>Selling_Closing_Price___Associated_Cost</vt:lpstr>
      <vt:lpstr>Total_EMI_paid_in_1_year</vt:lpstr>
      <vt:lpstr>Total_EMI_paid_over_the_period__Future_Value</vt:lpstr>
      <vt:lpstr>Total_Home_Insurance_over_the_period</vt:lpstr>
      <vt:lpstr>Total_House_Owner_Association__HOA__Fee_over_the_period</vt:lpstr>
      <vt:lpstr>Total_Maintenance_Amount_paid_over_the_period</vt:lpstr>
      <vt:lpstr>Total_Property_Tax_over_the_period</vt:lpstr>
      <vt:lpstr>Upfront_cost</vt:lpstr>
      <vt:lpstr>Value_of_Home_after_the_total_Number_of_Years_of_Ownership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Tiwari</dc:creator>
  <cp:lastModifiedBy>Vedant Tiwari</cp:lastModifiedBy>
  <dcterms:created xsi:type="dcterms:W3CDTF">2025-02-19T23:25:26Z</dcterms:created>
  <dcterms:modified xsi:type="dcterms:W3CDTF">2025-02-20T18:22:09Z</dcterms:modified>
</cp:coreProperties>
</file>