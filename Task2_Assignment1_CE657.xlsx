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eb93b5c451ab/Desktop/"/>
    </mc:Choice>
  </mc:AlternateContent>
  <xr:revisionPtr revIDLastSave="8" documentId="8_{D512CF45-705C-4A06-B7E7-5907F7881332}" xr6:coauthVersionLast="47" xr6:coauthVersionMax="47" xr10:uidLastSave="{BFBC20A7-A2DA-4093-AB9F-01942BF9AD0A}"/>
  <bookViews>
    <workbookView xWindow="-108" yWindow="-108" windowWidth="23256" windowHeight="13176" xr2:uid="{065B1AEC-0825-4E94-A536-4C9AA71C0F0F}"/>
  </bookViews>
  <sheets>
    <sheet name="Sheet1" sheetId="1" r:id="rId1"/>
  </sheets>
  <definedNames>
    <definedName name="Annual_Property_Tax">Sheet1!$D$13</definedName>
    <definedName name="Annual_Property_Tax__yearly">Sheet1!$D$25</definedName>
    <definedName name="Annual_Property_Tax_Amount__Rs">Sheet1!$D$14</definedName>
    <definedName name="Broker_Selling_Cost">Sheet1!$D$17</definedName>
    <definedName name="Broker_Selling_cost_at_the_end">Sheet1!$D$26</definedName>
    <definedName name="Discount__Rate">Sheet1!$D$16</definedName>
    <definedName name="Down_Payment">Sheet1!$D$7</definedName>
    <definedName name="Down_payment_amount_Rs">Sheet1!$D$8</definedName>
    <definedName name="EMI__monthly">Sheet1!$D$24</definedName>
    <definedName name="EMI__yearly">Sheet1!$D$27</definedName>
    <definedName name="Holding_out_of_land__yr">Sheet1!$D$18</definedName>
    <definedName name="Home_appreciation_Value_at_the_end_of_10_yrs">Sheet1!$D$23</definedName>
    <definedName name="Interest_Rate">Sheet1!$D$10</definedName>
    <definedName name="Loan_Amount__Rs">Sheet1!$D$9</definedName>
    <definedName name="Loan_Period__yr">Sheet1!$D$11</definedName>
    <definedName name="present_value_of_annual_property_tax">Sheet1!$D$30</definedName>
    <definedName name="present_value_of_appreciated_home_after_10_yr">Sheet1!$D$33</definedName>
    <definedName name="present_value_of_broker_selling_cost">Sheet1!$D$29</definedName>
    <definedName name="present_value_of_down_payment">Sheet1!$D$32</definedName>
    <definedName name="present_value_of_EMI">Sheet1!$D$31</definedName>
    <definedName name="Property_Appreciation_Rate">Sheet1!$D$12</definedName>
    <definedName name="Purchase_Price__Rs">Sheet1!$D$6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1" i="1" l="1"/>
  <c r="D33" i="1"/>
  <c r="D29" i="1"/>
  <c r="D24" i="1"/>
  <c r="D30" i="1" l="1"/>
  <c r="D25" i="1"/>
  <c r="D23" i="1"/>
  <c r="D26" i="1" l="1"/>
  <c r="D14" i="1"/>
  <c r="D8" i="1"/>
  <c r="D32" i="1" s="1"/>
  <c r="D9" i="1" l="1"/>
  <c r="D27" i="1" s="1"/>
  <c r="D35" i="1" l="1"/>
</calcChain>
</file>

<file path=xl/sharedStrings.xml><?xml version="1.0" encoding="utf-8"?>
<sst xmlns="http://schemas.openxmlformats.org/spreadsheetml/2006/main" count="37" uniqueCount="34">
  <si>
    <t>Purchase Price (Rs)</t>
  </si>
  <si>
    <t>Down Payment (%)</t>
  </si>
  <si>
    <t>Down payment amount(Rs)</t>
  </si>
  <si>
    <t>Loan Amount (Rs)</t>
  </si>
  <si>
    <t>Loan Period (yr)</t>
  </si>
  <si>
    <t>Annual Property Tax (%)</t>
  </si>
  <si>
    <t>Annual Property Tax Amount (Rs)</t>
  </si>
  <si>
    <t>Part 2: Investing in a property after taking a loan from the bank</t>
  </si>
  <si>
    <t>Broker Selling Cost (%)</t>
  </si>
  <si>
    <t>Holding out of land (yr)</t>
  </si>
  <si>
    <t>Broker Selling cost at the end</t>
  </si>
  <si>
    <t>Home appreciation Value at the end of 10 yrs</t>
  </si>
  <si>
    <t xml:space="preserve">Net present worth </t>
  </si>
  <si>
    <t>Decision</t>
  </si>
  <si>
    <t>Interest Rate (%)</t>
  </si>
  <si>
    <t>Property Appreciation Rate (%)</t>
  </si>
  <si>
    <t>EMI (monthly)</t>
  </si>
  <si>
    <t>EMI (yearly)</t>
  </si>
  <si>
    <t>Annual Property Tax (yearly)</t>
  </si>
  <si>
    <t>Using the formula (1+i)^n</t>
  </si>
  <si>
    <t>Using the PMT factor</t>
  </si>
  <si>
    <t>Using the formula (P/F,i,n)</t>
  </si>
  <si>
    <t>Using the formula (P/A,i,n)</t>
  </si>
  <si>
    <t>CALCULATIONS</t>
  </si>
  <si>
    <t>PARAMETERS</t>
  </si>
  <si>
    <t>VALUES</t>
  </si>
  <si>
    <t>FORMULA</t>
  </si>
  <si>
    <t>Present value of broker selling cost (-)</t>
  </si>
  <si>
    <t>Present value of annual property tax (-)</t>
  </si>
  <si>
    <t>Present value of EMI (-)</t>
  </si>
  <si>
    <t>Present value of down payment (-)</t>
  </si>
  <si>
    <t>Present value of appreciated home after 10 yr (+)</t>
  </si>
  <si>
    <t>Assumed that for property tax we are using the initial price</t>
  </si>
  <si>
    <t>Discount 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</si>
</sst>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4"/>
      <name val="Calibri"/>
      <family val="2"/>
      <scheme val="minor"/>
    </font>
    <font>
      <b/>
      <sz val="24"/>
      <color theme="4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48"/>
      <color theme="4"/>
      <name val="Times New Roman Bold"/>
    </font>
    <font>
      <sz val="22"/>
      <color theme="1" tint="4.9989318521683403E-2"/>
      <name val="Calibri"/>
      <family val="2"/>
      <scheme val="minor"/>
    </font>
    <font>
      <sz val="24"/>
      <color rgb="FF00206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8" fontId="1" fillId="0" borderId="0" xfId="0" applyNumberFormat="1" applyFont="1"/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2" xfId="0" applyBorder="1"/>
    <xf numFmtId="0" fontId="5" fillId="0" borderId="2" xfId="0" applyFont="1" applyBorder="1"/>
    <xf numFmtId="8" fontId="5" fillId="0" borderId="2" xfId="0" applyNumberFormat="1" applyFont="1" applyBorder="1"/>
    <xf numFmtId="0" fontId="6" fillId="0" borderId="2" xfId="0" applyFont="1" applyBorder="1"/>
    <xf numFmtId="0" fontId="8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/>
    <xf numFmtId="0" fontId="9" fillId="0" borderId="0" xfId="0" applyFont="1"/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9C7F-7057-4A40-8F8D-BB10E05A6829}">
  <dimension ref="A1:F38"/>
  <sheetViews>
    <sheetView tabSelected="1" topLeftCell="C6" zoomScale="67" zoomScaleNormal="78" workbookViewId="0">
      <selection activeCell="D39" sqref="D39"/>
    </sheetView>
  </sheetViews>
  <sheetFormatPr defaultColWidth="8.77734375" defaultRowHeight="14.4"/>
  <cols>
    <col min="1" max="2" width="8.77734375" hidden="1" customWidth="1"/>
    <col min="3" max="3" width="109.33203125" bestFit="1" customWidth="1"/>
    <col min="4" max="4" width="42.44140625" customWidth="1"/>
    <col min="5" max="5" width="68.44140625" bestFit="1" customWidth="1"/>
  </cols>
  <sheetData>
    <row r="1" spans="3:6" ht="30">
      <c r="C1" s="15" t="s">
        <v>7</v>
      </c>
      <c r="D1" s="3"/>
    </row>
    <row r="3" spans="3:6" ht="15.6">
      <c r="C3" s="1"/>
    </row>
    <row r="4" spans="3:6" ht="30">
      <c r="C4" s="13" t="s">
        <v>24</v>
      </c>
      <c r="D4" s="13" t="s">
        <v>25</v>
      </c>
    </row>
    <row r="5" spans="3:6" ht="4.05" customHeight="1">
      <c r="C5" s="5"/>
      <c r="D5" s="6"/>
      <c r="E5" s="1"/>
      <c r="F5" s="1"/>
    </row>
    <row r="6" spans="3:6" ht="21">
      <c r="C6" s="7" t="s">
        <v>0</v>
      </c>
      <c r="D6" s="6">
        <v>20000000</v>
      </c>
      <c r="E6" s="1"/>
      <c r="F6" s="1"/>
    </row>
    <row r="7" spans="3:6" ht="21">
      <c r="C7" s="7" t="s">
        <v>1</v>
      </c>
      <c r="D7" s="6">
        <v>25</v>
      </c>
      <c r="E7" s="1"/>
      <c r="F7" s="1"/>
    </row>
    <row r="8" spans="3:6" ht="21">
      <c r="C8" s="7" t="s">
        <v>2</v>
      </c>
      <c r="D8" s="6">
        <f>D7*D6/100</f>
        <v>5000000</v>
      </c>
      <c r="E8" s="1"/>
      <c r="F8" s="1"/>
    </row>
    <row r="9" spans="3:6" ht="21">
      <c r="C9" s="7" t="s">
        <v>3</v>
      </c>
      <c r="D9" s="6">
        <f>D6-D8</f>
        <v>15000000</v>
      </c>
      <c r="E9" s="1"/>
      <c r="F9" s="1"/>
    </row>
    <row r="10" spans="3:6" ht="21">
      <c r="C10" s="7" t="s">
        <v>14</v>
      </c>
      <c r="D10" s="6">
        <v>8</v>
      </c>
      <c r="E10" s="1"/>
      <c r="F10" s="1"/>
    </row>
    <row r="11" spans="3:6" ht="21">
      <c r="C11" s="7" t="s">
        <v>4</v>
      </c>
      <c r="D11" s="6">
        <v>10</v>
      </c>
      <c r="E11" s="1"/>
      <c r="F11" s="1"/>
    </row>
    <row r="12" spans="3:6" ht="21">
      <c r="C12" s="7" t="s">
        <v>15</v>
      </c>
      <c r="D12" s="6">
        <v>6</v>
      </c>
      <c r="E12" s="1"/>
      <c r="F12" s="1"/>
    </row>
    <row r="13" spans="3:6" ht="21">
      <c r="C13" s="7" t="s">
        <v>5</v>
      </c>
      <c r="D13" s="6">
        <v>1</v>
      </c>
      <c r="E13" s="1"/>
      <c r="F13" s="1"/>
    </row>
    <row r="14" spans="3:6" ht="21">
      <c r="C14" s="7" t="s">
        <v>6</v>
      </c>
      <c r="D14" s="6">
        <f>D13*D6/100</f>
        <v>200000</v>
      </c>
      <c r="E14" s="1"/>
      <c r="F14" s="1"/>
    </row>
    <row r="15" spans="3:6" ht="0.45" customHeight="1">
      <c r="C15" s="7"/>
      <c r="D15" s="6"/>
      <c r="E15" s="1"/>
      <c r="F15" s="1"/>
    </row>
    <row r="16" spans="3:6" ht="21">
      <c r="C16" s="7" t="s">
        <v>33</v>
      </c>
      <c r="D16" s="6">
        <v>10</v>
      </c>
      <c r="E16" s="4"/>
      <c r="F16" s="1"/>
    </row>
    <row r="17" spans="3:6" ht="21">
      <c r="C17" s="7" t="s">
        <v>8</v>
      </c>
      <c r="D17" s="6">
        <v>1</v>
      </c>
      <c r="E17" s="4"/>
      <c r="F17" s="1"/>
    </row>
    <row r="18" spans="3:6" ht="21">
      <c r="C18" s="7" t="s">
        <v>9</v>
      </c>
      <c r="D18" s="6">
        <v>10</v>
      </c>
      <c r="E18" s="1"/>
      <c r="F18" s="1"/>
    </row>
    <row r="19" spans="3:6" ht="19.2" customHeight="1">
      <c r="C19" s="2"/>
    </row>
    <row r="21" spans="3:6" ht="30">
      <c r="C21" s="14" t="s">
        <v>23</v>
      </c>
      <c r="D21" s="14" t="s">
        <v>25</v>
      </c>
      <c r="E21" s="14" t="s">
        <v>26</v>
      </c>
    </row>
    <row r="22" spans="3:6" ht="4.05" customHeight="1">
      <c r="C22" s="8"/>
      <c r="D22" s="8"/>
      <c r="E22" s="8"/>
    </row>
    <row r="23" spans="3:6" ht="21">
      <c r="C23" s="11" t="s">
        <v>11</v>
      </c>
      <c r="D23" s="10">
        <f>Purchase_Price__Rs*((1+Property_Appreciation_Rate/100)^Holding_out_of_land__yr)</f>
        <v>35816953.930857092</v>
      </c>
      <c r="E23" s="9" t="s">
        <v>19</v>
      </c>
    </row>
    <row r="24" spans="3:6" ht="21">
      <c r="C24" s="11" t="s">
        <v>16</v>
      </c>
      <c r="D24" s="10">
        <f>PMT(Interest_Rate/(12*100),Loan_Period__yr*12,Loan_Amount__Rs)</f>
        <v>-181991.39153303541</v>
      </c>
      <c r="E24" s="9" t="s">
        <v>20</v>
      </c>
    </row>
    <row r="25" spans="3:6" ht="21">
      <c r="C25" s="11" t="s">
        <v>18</v>
      </c>
      <c r="D25" s="9">
        <f>Purchase_Price__Rs*Annual_Property_Tax/100</f>
        <v>200000</v>
      </c>
      <c r="E25" s="9" t="s">
        <v>32</v>
      </c>
    </row>
    <row r="26" spans="3:6" ht="21">
      <c r="C26" s="11" t="s">
        <v>10</v>
      </c>
      <c r="D26" s="10">
        <f>Home_appreciation_Value_at_the_end_of_10_yrs*Broker_Selling_Cost/100</f>
        <v>358169.53930857091</v>
      </c>
      <c r="E26" s="9"/>
    </row>
    <row r="27" spans="3:6" ht="21">
      <c r="C27" s="11" t="s">
        <v>17</v>
      </c>
      <c r="D27" s="10">
        <f>EMI__monthly*12</f>
        <v>-2183896.6983964248</v>
      </c>
      <c r="E27" s="9"/>
    </row>
    <row r="28" spans="3:6" ht="21">
      <c r="C28" s="11"/>
      <c r="D28" s="9"/>
      <c r="E28" s="9"/>
    </row>
    <row r="29" spans="3:6" ht="21">
      <c r="C29" s="11" t="s">
        <v>27</v>
      </c>
      <c r="D29" s="9">
        <f>-Broker_Selling_cost_at_the_end*((1+Discount__Rate/100)^-Holding_out_of_land__yr)</f>
        <v>-138089.86235848631</v>
      </c>
      <c r="E29" s="9" t="s">
        <v>21</v>
      </c>
    </row>
    <row r="30" spans="3:6" ht="21">
      <c r="C30" s="11" t="s">
        <v>28</v>
      </c>
      <c r="D30" s="10">
        <f>PV(Discount__Rate/100,Holding_out_of_land__yr,Annual_Property_Tax__yearly,0,0)</f>
        <v>-1228913.4211409371</v>
      </c>
      <c r="E30" s="9" t="s">
        <v>22</v>
      </c>
    </row>
    <row r="31" spans="3:6" ht="21">
      <c r="C31" s="11" t="s">
        <v>29</v>
      </c>
      <c r="D31" s="10">
        <f>-PV(Discount__Rate/100,Holding_out_of_land__yr,EMI__yearly,0,0)</f>
        <v>-13419099.815223737</v>
      </c>
      <c r="E31" s="9" t="s">
        <v>22</v>
      </c>
    </row>
    <row r="32" spans="3:6" ht="21">
      <c r="C32" s="11" t="s">
        <v>30</v>
      </c>
      <c r="D32" s="9">
        <f>-Down_payment_amount_Rs</f>
        <v>-5000000</v>
      </c>
      <c r="E32" s="9"/>
    </row>
    <row r="33" spans="3:5" ht="21">
      <c r="C33" s="11" t="s">
        <v>31</v>
      </c>
      <c r="D33" s="9">
        <f>Home_appreciation_Value_at_the_end_of_10_yrs*((1+Discount__Rate/100)^-Holding_out_of_land__yr)</f>
        <v>13808986.235848632</v>
      </c>
      <c r="E33" s="9" t="s">
        <v>21</v>
      </c>
    </row>
    <row r="34" spans="3:5" ht="21">
      <c r="C34" s="11"/>
      <c r="D34" s="9"/>
      <c r="E34" s="9"/>
    </row>
    <row r="35" spans="3:5" ht="21">
      <c r="C35" s="11" t="s">
        <v>12</v>
      </c>
      <c r="D35" s="9">
        <f>present_value_of_broker_selling_cost+present_value_of_annual_property_tax+present_value_of_EMI+present_value_of_down_payment+present_value_of_appreciated_home_after_10_yr</f>
        <v>-5977116.8628745265</v>
      </c>
      <c r="E35" s="9"/>
    </row>
    <row r="38" spans="3:5" ht="60">
      <c r="C38" s="16" t="s">
        <v>13</v>
      </c>
      <c r="D38" s="12" t="str">
        <f>IF(D35&gt;0,"We should invest","We shouldn't invest")</f>
        <v>We shouldn't invest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Sheet1</vt:lpstr>
      <vt:lpstr>Annual_Property_Tax</vt:lpstr>
      <vt:lpstr>Annual_Property_Tax__yearly</vt:lpstr>
      <vt:lpstr>Annual_Property_Tax_Amount__Rs</vt:lpstr>
      <vt:lpstr>Broker_Selling_Cost</vt:lpstr>
      <vt:lpstr>Broker_Selling_cost_at_the_end</vt:lpstr>
      <vt:lpstr>Discount__Rate</vt:lpstr>
      <vt:lpstr>Down_Payment</vt:lpstr>
      <vt:lpstr>Down_payment_amount_Rs</vt:lpstr>
      <vt:lpstr>EMI__monthly</vt:lpstr>
      <vt:lpstr>EMI__yearly</vt:lpstr>
      <vt:lpstr>Holding_out_of_land__yr</vt:lpstr>
      <vt:lpstr>Home_appreciation_Value_at_the_end_of_10_yrs</vt:lpstr>
      <vt:lpstr>Interest_Rate</vt:lpstr>
      <vt:lpstr>Loan_Amount__Rs</vt:lpstr>
      <vt:lpstr>Loan_Period__yr</vt:lpstr>
      <vt:lpstr>present_value_of_annual_property_tax</vt:lpstr>
      <vt:lpstr>present_value_of_appreciated_home_after_10_yr</vt:lpstr>
      <vt:lpstr>present_value_of_broker_selling_cost</vt:lpstr>
      <vt:lpstr>present_value_of_down_payment</vt:lpstr>
      <vt:lpstr>present_value_of_EMI</vt:lpstr>
      <vt:lpstr>Property_Appreciation_Rate</vt:lpstr>
      <vt:lpstr>Purchase_Price__Rs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Jain</dc:creator>
  <cp:lastModifiedBy>Pranshu Jain</cp:lastModifiedBy>
  <dcterms:created xsi:type="dcterms:W3CDTF">2025-02-19T13:45:15Z</dcterms:created>
  <dcterms:modified xsi:type="dcterms:W3CDTF">2025-02-20T18:08:59Z</dcterms:modified>
</cp:coreProperties>
</file>